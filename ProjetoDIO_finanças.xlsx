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eRo\Desktop\Paty\"/>
    </mc:Choice>
  </mc:AlternateContent>
  <xr:revisionPtr revIDLastSave="0" documentId="13_ncr:1_{34CAA987-239A-478F-B6EE-6183B8C59336}" xr6:coauthVersionLast="47" xr6:coauthVersionMax="47" xr10:uidLastSave="{00000000-0000-0000-0000-000000000000}"/>
  <bookViews>
    <workbookView xWindow="14400" yWindow="0" windowWidth="14400" windowHeight="15600" tabRatio="681" firstSheet="2" activeTab="2" xr2:uid="{A5A6EE2A-AD00-4D41-A683-7B71352F865F}"/>
  </bookViews>
  <sheets>
    <sheet name="Data" sheetId="1" state="hidden" r:id="rId1"/>
    <sheet name="TabDinamica" sheetId="2" state="hidden" r:id="rId2"/>
    <sheet name="Dashboard" sheetId="3" r:id="rId3"/>
    <sheet name="Caixinha" sheetId="4" state="hidden" r:id="rId4"/>
  </sheets>
  <definedNames>
    <definedName name="NativeTimeline_Data">#N/A</definedName>
    <definedName name="SegmentaçãodeDados_Categoria">#N/A</definedName>
    <definedName name="SegmentaçãodeDados_Mês">#N/A</definedName>
  </definedNames>
  <calcPr calcId="191029"/>
  <pivotCaches>
    <pivotCache cacheId="2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<sst xmlns="http://schemas.openxmlformats.org/spreadsheetml/2006/main" count="259" uniqueCount="83">
  <si>
    <t>Data</t>
  </si>
  <si>
    <t>Tipo</t>
  </si>
  <si>
    <t>Descrição</t>
  </si>
  <si>
    <t>Valor</t>
  </si>
  <si>
    <t>Categoria</t>
  </si>
  <si>
    <t>Operação Bancária</t>
  </si>
  <si>
    <t>Status</t>
  </si>
  <si>
    <t>ENTRADA</t>
  </si>
  <si>
    <t>SAÍDA</t>
  </si>
  <si>
    <t>Renda Fixa</t>
  </si>
  <si>
    <t>Salário mensal</t>
  </si>
  <si>
    <t>Transferência</t>
  </si>
  <si>
    <t>Recebido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</si>
  <si>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</si>
  <si>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</si>
  <si>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</si>
  <si>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</si>
  <si>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</si>
  <si>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</si>
  <si>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</si>
  <si>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</si>
  <si>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</si>
  <si>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</si>
  <si>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</si>
  <si>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</si>
  <si>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</si>
  <si>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</si>
  <si>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</si>
  <si>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</si>
  <si>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</si>
  <si>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</si>
  <si>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</si>
  <si>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</si>
  <si>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</si>
  <si>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</si>
  <si>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</si>
  <si>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</si>
  <si>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</si>
  <si>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</si>
  <si>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</si>
  <si>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</si>
  <si>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</si>
  <si>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</si>
  <si>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</si>
  <si>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</si>
  <si>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</si>
  <si>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</si>
  <si>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</si>
  <si>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</si>
  <si>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</si>
  <si>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</si>
  <si>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</si>
  <si>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</si>
  <si>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</si>
  <si>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</si>
  <si>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</si>
  <si>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</si>
  <si>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</si>
  <si>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</si>
  <si>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</si>
  <si>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</si>
  <si>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</si>
  <si>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</si>
  <si>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</si>
  <si>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</si>
  <si>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</si>
  <si>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</si>
  <si>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</si>
  <si>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</si>
  <si>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</si>
  <si>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</si>
  <si>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</si>
  <si>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</si>
  <si>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</si>
  <si>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Soma de Valor</t>
  </si>
  <si>
    <t>Saída por categoria, sumarizado, em reais</t>
  </si>
  <si>
    <t>Entrada por categoria, sumarizado, em reais</t>
  </si>
  <si>
    <t xml:space="preserve"> </t>
  </si>
  <si>
    <t>Mês</t>
  </si>
  <si>
    <t>Data de Lançamento</t>
  </si>
  <si>
    <t>Depósito Reservado</t>
  </si>
  <si>
    <t>Total resevado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</si>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</sst>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_-&quot;R$&quot;\ * #,##0.00_-;\-&quot;R$&quot;\ * #,##0.00_-;_-&quot;R$&quot;\ * &quot;-&quot;??_-;_-@_-"/>
    <numFmt numFmtId="169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0099CC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166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 wrapText="1"/>
    </xf>
    <xf numFmtId="166" fontId="0" fillId="0" borderId="0" xfId="4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3" borderId="0" xfId="0" applyFill="1"/>
    <xf numFmtId="0" fontId="0" fillId="4" borderId="0" xfId="0" applyFill="1"/>
    <xf numFmtId="169" fontId="0" fillId="0" borderId="0" xfId="1" applyNumberFormat="1" applyFont="1" applyAlignment="1">
      <alignment horizontal="center" wrapText="1"/>
    </xf>
    <xf numFmtId="169" fontId="0" fillId="0" borderId="0" xfId="1" applyNumberFormat="1" applyFont="1" applyAlignment="1">
      <alignment horizontal="center"/>
    </xf>
    <xf numFmtId="44" fontId="0" fillId="0" borderId="0" xfId="2" applyFont="1"/>
    <xf numFmtId="14" fontId="0" fillId="0" borderId="0" xfId="2" applyNumberFormat="1" applyFont="1"/>
    <xf numFmtId="44" fontId="0" fillId="0" borderId="0" xfId="0" applyNumberFormat="1"/>
    <xf numFmtId="14" fontId="0" fillId="0" borderId="0" xfId="0" applyNumberFormat="1" applyFont="1"/>
    <xf numFmtId="44" fontId="0" fillId="0" borderId="0" xfId="0" applyNumberFormat="1" applyFont="1"/>
    <xf numFmtId="8" fontId="0" fillId="0" borderId="0" xfId="0" applyNumberFormat="1"/>
    <xf numFmtId="0" fontId="1" fillId="2" borderId="0" xfId="3"/>
  </cellXfs>
  <cellStyles count="5">
    <cellStyle name="40% - Ênfase5" xfId="3" builtinId="47"/>
    <cellStyle name="Moeda" xfId="2" builtinId="4"/>
    <cellStyle name="Moeda 2" xfId="4" xr:uid="{84651AD8-B488-404D-A3A1-B49C3ECD729A}"/>
    <cellStyle name="Normal" xfId="0" builtinId="0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rgb="FF0099CC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099CC"/>
        </patternFill>
      </fill>
      <border diagonalUp="0" diagonalDown="0">
        <left/>
        <right/>
        <top/>
        <bottom/>
        <vertical/>
        <horizontal/>
      </border>
    </dxf>
    <dxf>
      <numFmt numFmtId="169" formatCode="_-* #,##0_-;\-* #,##0_-;_-* &quot;-&quot;??_-;_-@_-"/>
      <alignment horizontal="center" vertical="bottom" textRotation="0" wrapText="1" indent="0" justifyLastLine="0" shrinkToFit="0" readingOrder="0"/>
    </dxf>
  </dxfs>
  <tableStyles count="2" defaultTableStyle="TableStyleMedium2" defaultPivotStyle="PivotStyleLight16">
    <tableStyle name="SlicerStyleDark1 2" pivot="0" table="0" count="10" xr9:uid="{D4542AC8-DADE-4686-AB45-07F11DD3567B}">
      <tableStyleElement type="wholeTable" dxfId="7"/>
      <tableStyleElement type="headerRow" dxfId="6"/>
    </tableStyle>
    <tableStyle name="TimeSlicerStyleLight1 2" pivot="0" table="0" count="9" xr9:uid="{140A246A-7869-4B64-8D2F-45FA4541FBB6}">
      <tableStyleElement type="wholeTable" dxfId="5"/>
      <tableStyleElement type="headerRow" dxfId="4"/>
    </tableStyle>
  </tableStyles>
  <colors>
    <mruColors>
      <color rgb="FF0099C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[ProjetoDIO_finanças.xlsx]TabDinamica!Tabela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5608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74184289760673E-2"/>
          <c:y val="9.9901241158414533E-2"/>
          <c:w val="0.96810750667844003"/>
          <c:h val="0.635713452886811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TabDinamica!$D$4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TabDinamica!$C$5:$C$15</c:f>
              <c:strCache>
                <c:ptCount val="10"/>
                <c:pt idx="0">
                  <c:v>Alimentação</c:v>
                </c:pt>
                <c:pt idx="1">
                  <c:v>Educação</c:v>
                </c:pt>
                <c:pt idx="2">
                  <c:v>Eletrônicos</c:v>
                </c:pt>
                <c:pt idx="3">
                  <c:v>Lazer</c:v>
                </c:pt>
                <c:pt idx="4">
                  <c:v>Presentes</c:v>
                </c:pt>
                <c:pt idx="5">
                  <c:v>Saúde</c:v>
                </c:pt>
                <c:pt idx="6">
                  <c:v>Serviços</c:v>
                </c:pt>
                <c:pt idx="7">
                  <c:v>Transporte</c:v>
                </c:pt>
                <c:pt idx="8">
                  <c:v>Utilidades Dom.</c:v>
                </c:pt>
                <c:pt idx="9">
                  <c:v>Vestuário</c:v>
                </c:pt>
              </c:strCache>
            </c:strRef>
          </c:cat>
          <c:val>
            <c:numRef>
              <c:f>TabDinamica!$D$5:$D$15</c:f>
              <c:numCache>
                <c:formatCode>_("R$"* #,##0.00_);_("R$"* \(#,##0.00\);_("R$"* "-"??_);_(@_)</c:formatCode>
                <c:ptCount val="10"/>
                <c:pt idx="0">
                  <c:v>450</c:v>
                </c:pt>
                <c:pt idx="1">
                  <c:v>350</c:v>
                </c:pt>
                <c:pt idx="2">
                  <c:v>1500</c:v>
                </c:pt>
                <c:pt idx="3">
                  <c:v>200</c:v>
                </c:pt>
                <c:pt idx="4">
                  <c:v>400</c:v>
                </c:pt>
                <c:pt idx="5">
                  <c:v>600</c:v>
                </c:pt>
                <c:pt idx="6">
                  <c:v>800</c:v>
                </c:pt>
                <c:pt idx="7">
                  <c:v>300</c:v>
                </c:pt>
                <c:pt idx="8">
                  <c:v>250</c:v>
                </c:pt>
                <c:pt idx="9">
                  <c:v>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24C-40B1-86D9-0820AF932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732303"/>
        <c:axId val="348026783"/>
      </c:barChart>
      <c:catAx>
        <c:axId val="3567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8026783"/>
        <c:crosses val="autoZero"/>
        <c:auto val="1"/>
        <c:lblAlgn val="ctr"/>
        <c:lblOffset val="100"/>
        <c:noMultiLvlLbl val="0"/>
      </c:catAx>
      <c:valAx>
        <c:axId val="34802678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673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[ProjetoDIO_finanças.xlsx]TabDinamica!Tabela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TabDinamica!$G$4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TabDinamica!$F$5:$F$7</c:f>
              <c:strCache>
                <c:ptCount val="2"/>
                <c:pt idx="0">
                  <c:v>Freelance</c:v>
                </c:pt>
                <c:pt idx="1">
                  <c:v>Renda Fixa</c:v>
                </c:pt>
              </c:strCache>
            </c:strRef>
          </c:cat>
          <c:val>
            <c:numRef>
              <c:f>TabDinamica!$G$5:$G$7</c:f>
              <c:numCache>
                <c:formatCode>_("R$"* #,##0.00_);_("R$"* \(#,##0.00\);_("R$"* "-"??_);_(@_)</c:formatCode>
                <c:ptCount val="2"/>
                <c:pt idx="0">
                  <c:v>1200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0-48B1-885B-EE47D7114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7022399"/>
        <c:axId val="507023359"/>
      </c:barChart>
      <c:catAx>
        <c:axId val="507022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7023359"/>
        <c:crosses val="autoZero"/>
        <c:auto val="1"/>
        <c:lblAlgn val="ctr"/>
        <c:lblOffset val="100"/>
        <c:noMultiLvlLbl val="0"/>
      </c:catAx>
      <c:valAx>
        <c:axId val="5070233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0702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3897084358254488"/>
          <c:w val="0.98849209397605786"/>
          <c:h val="0.7453470265690118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Caixinha!$D$4</c:f>
              <c:strCache>
                <c:ptCount val="1"/>
                <c:pt idx="0">
                  <c:v>Meta de reserva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Caixinha!$E$4</c:f>
              <c:numCache>
                <c:formatCode>"R$"#,##0.00_);[Red]\("R$"#,##0.00\)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2-4EC4-ACB1-A77406D6C7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08782271"/>
        <c:axId val="508783231"/>
      </c:barChart>
      <c:barChart>
        <c:barDir val="col"/>
        <c:grouping val="stacked"/>
        <c:varyColors val="0"/>
        <c:ser>
          <c:idx val="0"/>
          <c:order val="0"/>
          <c:tx>
            <c:strRef>
              <c:f>Caixinha!$D$3</c:f>
              <c:strCache>
                <c:ptCount val="1"/>
                <c:pt idx="0">
                  <c:v>Total resevado</c:v>
                </c:pt>
              </c:strCache>
            </c:strRef>
          </c:tx>
          <c:spPr>
            <a:gradFill>
              <a:gsLst>
                <a:gs pos="49000">
                  <a:srgbClr val="4DB0D1"/>
                </a:gs>
                <a:gs pos="87000">
                  <a:srgbClr val="0099CC"/>
                </a:gs>
                <a:gs pos="12000">
                  <a:schemeClr val="bg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Caixinha!$E$3</c:f>
              <c:numCache>
                <c:formatCode>_("R$"* #,##0.00_);_("R$"* \(#,##0.00\);_("R$"* "-"??_);_(@_)</c:formatCode>
                <c:ptCount val="1"/>
                <c:pt idx="0">
                  <c:v>3958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2-4EC4-ACB1-A77406D6C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353666303"/>
        <c:axId val="353642303"/>
      </c:barChart>
      <c:catAx>
        <c:axId val="5087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783231"/>
        <c:crosses val="autoZero"/>
        <c:auto val="1"/>
        <c:lblAlgn val="ctr"/>
        <c:lblOffset val="100"/>
        <c:noMultiLvlLbl val="0"/>
      </c:catAx>
      <c:valAx>
        <c:axId val="508783231"/>
        <c:scaling>
          <c:orientation val="minMax"/>
          <c:max val="21000"/>
          <c:min val="0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508782271"/>
        <c:crosses val="autoZero"/>
        <c:crossBetween val="between"/>
      </c:valAx>
      <c:valAx>
        <c:axId val="353642303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53666303"/>
        <c:crosses val="max"/>
        <c:crossBetween val="between"/>
      </c:valAx>
      <c:catAx>
        <c:axId val="353666303"/>
        <c:scaling>
          <c:orientation val="minMax"/>
        </c:scaling>
        <c:delete val="1"/>
        <c:axPos val="b"/>
        <c:majorTickMark val="out"/>
        <c:minorTickMark val="none"/>
        <c:tickLblPos val="nextTo"/>
        <c:crossAx val="3536423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chart" Target="../charts/chart2.xml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351153</xdr:colOff>
      <xdr:row>28</xdr:row>
      <xdr:rowOff>127413</xdr:rowOff>
    </xdr:from>
    <xdr:to>
      <xdr:col>18</xdr:col>
      <xdr:colOff>24582</xdr:colOff>
      <xdr:row>54</xdr:row>
      <xdr:rowOff>86592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A548308C-87B8-2078-E336-7724E187404C}"/>
            </a:ext>
          </a:extLst>
        </xdr:cNvPr>
        <xdr:cNvGrpSpPr/>
      </xdr:nvGrpSpPr>
      <xdr:grpSpPr>
        <a:xfrm>
          <a:off x="2977332" y="5461413"/>
          <a:ext cx="12627429" cy="4912179"/>
          <a:chOff x="2100290" y="5513367"/>
          <a:chExt cx="10133611" cy="4912179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D4982A48-8EC8-388E-5526-E20D4EEFAA2F}"/>
              </a:ext>
            </a:extLst>
          </xdr:cNvPr>
          <xdr:cNvGrpSpPr/>
        </xdr:nvGrpSpPr>
        <xdr:grpSpPr>
          <a:xfrm>
            <a:off x="2100290" y="5513367"/>
            <a:ext cx="10133611" cy="4912179"/>
            <a:chOff x="1973035" y="6136821"/>
            <a:chExt cx="10232572" cy="4043023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873C98DE-3133-8C96-3F63-776AF0CC4E42}"/>
                </a:ext>
              </a:extLst>
            </xdr:cNvPr>
            <xdr:cNvGrpSpPr/>
          </xdr:nvGrpSpPr>
          <xdr:grpSpPr>
            <a:xfrm>
              <a:off x="1973035" y="6136821"/>
              <a:ext cx="10232572" cy="4043023"/>
              <a:chOff x="1891392" y="7565571"/>
              <a:chExt cx="10232572" cy="4043023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96735026-C942-4878-B1BB-B37487F225A1}"/>
                  </a:ext>
                </a:extLst>
              </xdr:cNvPr>
              <xdr:cNvSpPr/>
            </xdr:nvSpPr>
            <xdr:spPr>
              <a:xfrm>
                <a:off x="1910101" y="7572375"/>
                <a:ext cx="10213863" cy="4036219"/>
              </a:xfrm>
              <a:prstGeom prst="roundRect">
                <a:avLst>
                  <a:gd name="adj" fmla="val 3688"/>
                </a:avLst>
              </a:prstGeom>
              <a:ln>
                <a:noFill/>
              </a:ln>
            </xdr:spPr>
            <xdr:style>
              <a:lnRef idx="2">
                <a:schemeClr val="accent4"/>
              </a:lnRef>
              <a:fillRef idx="1">
                <a:schemeClr val="lt1"/>
              </a:fillRef>
              <a:effectRef idx="0">
                <a:schemeClr val="accent4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pSp>
            <xdr:nvGrpSpPr>
              <xdr:cNvPr id="10" name="Agrupar 9">
                <a:extLst>
                  <a:ext uri="{FF2B5EF4-FFF2-40B4-BE49-F238E27FC236}">
                    <a16:creationId xmlns:a16="http://schemas.microsoft.com/office/drawing/2014/main" id="{AB6CDBAD-C995-5664-E0AC-EE12743D50E3}"/>
                  </a:ext>
                </a:extLst>
              </xdr:cNvPr>
              <xdr:cNvGrpSpPr/>
            </xdr:nvGrpSpPr>
            <xdr:grpSpPr>
              <a:xfrm>
                <a:off x="1891392" y="7565571"/>
                <a:ext cx="10232571" cy="3918858"/>
                <a:chOff x="1891392" y="7565571"/>
                <a:chExt cx="10232571" cy="4530838"/>
              </a:xfrm>
            </xdr:grpSpPr>
            <xdr:graphicFrame macro="">
              <xdr:nvGraphicFramePr>
                <xdr:cNvPr id="2" name="Gráfico 1">
                  <a:extLst>
                    <a:ext uri="{FF2B5EF4-FFF2-40B4-BE49-F238E27FC236}">
                      <a16:creationId xmlns:a16="http://schemas.microsoft.com/office/drawing/2014/main" id="{68AE6682-A635-4C94-8DDB-A70AF54C3575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918608" y="8162584"/>
                <a:ext cx="9919607" cy="393382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9" name="Retângulo: Cantos Superiores Arredondados 8">
                  <a:extLst>
                    <a:ext uri="{FF2B5EF4-FFF2-40B4-BE49-F238E27FC236}">
                      <a16:creationId xmlns:a16="http://schemas.microsoft.com/office/drawing/2014/main" id="{1E8327C8-2D00-4B3A-AD85-40C174981CC9}"/>
                    </a:ext>
                  </a:extLst>
                </xdr:cNvPr>
                <xdr:cNvSpPr/>
              </xdr:nvSpPr>
              <xdr:spPr>
                <a:xfrm>
                  <a:off x="1891392" y="7565571"/>
                  <a:ext cx="10232571" cy="773906"/>
                </a:xfrm>
                <a:prstGeom prst="round2SameRect">
                  <a:avLst>
                    <a:gd name="adj1" fmla="val 19129"/>
                    <a:gd name="adj2" fmla="val 0"/>
                  </a:avLst>
                </a:prstGeom>
                <a:solidFill>
                  <a:srgbClr val="0099CC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</xdr:grpSp>
        </xdr:grpSp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DD9884F5-1A66-4B7B-BD6A-188A4FE978C8}"/>
                </a:ext>
              </a:extLst>
            </xdr:cNvPr>
            <xdr:cNvSpPr txBox="1"/>
          </xdr:nvSpPr>
          <xdr:spPr>
            <a:xfrm>
              <a:off x="2808953" y="6282694"/>
              <a:ext cx="1823357" cy="39460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2800" kern="1200">
                  <a:solidFill>
                    <a:schemeClr val="bg1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rPr>
                <a:t>Saídas</a:t>
              </a:r>
            </a:p>
          </xdr:txBody>
        </xdr:sp>
      </xdr:grpSp>
      <xdr:pic>
        <xdr:nvPicPr>
          <xdr:cNvPr id="17" name="Gráfico 16" descr="Dinheiro voador com preenchimento sólido">
            <a:extLst>
              <a:ext uri="{FF2B5EF4-FFF2-40B4-BE49-F238E27FC236}">
                <a16:creationId xmlns:a16="http://schemas.microsoft.com/office/drawing/2014/main" id="{345FCFB3-350B-1770-C7FD-DFDD0AD6BE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35918" y="5647102"/>
            <a:ext cx="594930" cy="59457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351153</xdr:colOff>
      <xdr:row>2</xdr:row>
      <xdr:rowOff>19793</xdr:rowOff>
    </xdr:from>
    <xdr:to>
      <xdr:col>12</xdr:col>
      <xdr:colOff>410686</xdr:colOff>
      <xdr:row>26</xdr:row>
      <xdr:rowOff>138855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9836081C-5169-87F1-5BE4-E2ED6B053342}"/>
            </a:ext>
          </a:extLst>
        </xdr:cNvPr>
        <xdr:cNvGrpSpPr/>
      </xdr:nvGrpSpPr>
      <xdr:grpSpPr>
        <a:xfrm>
          <a:off x="2977332" y="400793"/>
          <a:ext cx="8441533" cy="4691062"/>
          <a:chOff x="2095196" y="400793"/>
          <a:chExt cx="6715827" cy="4691062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37226914-F5CD-BB00-64A3-F0DAC491458E}"/>
              </a:ext>
            </a:extLst>
          </xdr:cNvPr>
          <xdr:cNvGrpSpPr/>
        </xdr:nvGrpSpPr>
        <xdr:grpSpPr>
          <a:xfrm>
            <a:off x="2095196" y="400793"/>
            <a:ext cx="6715827" cy="4691062"/>
            <a:chOff x="1886288" y="762000"/>
            <a:chExt cx="6795069" cy="4691062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6AD69022-625B-9CB0-C325-9781E0C634DF}"/>
                </a:ext>
              </a:extLst>
            </xdr:cNvPr>
            <xdr:cNvGrpSpPr/>
          </xdr:nvGrpSpPr>
          <xdr:grpSpPr>
            <a:xfrm>
              <a:off x="1886288" y="762000"/>
              <a:ext cx="6795069" cy="4691062"/>
              <a:chOff x="1883567" y="762000"/>
              <a:chExt cx="6765133" cy="4691062"/>
            </a:xfrm>
          </xdr:grpSpPr>
          <xdr:grpSp>
            <xdr:nvGrpSpPr>
              <xdr:cNvPr id="7" name="Agrupar 6">
                <a:extLst>
                  <a:ext uri="{FF2B5EF4-FFF2-40B4-BE49-F238E27FC236}">
                    <a16:creationId xmlns:a16="http://schemas.microsoft.com/office/drawing/2014/main" id="{D4E3BEAE-385E-8D9C-1136-FE3F57FF6419}"/>
                  </a:ext>
                </a:extLst>
              </xdr:cNvPr>
              <xdr:cNvGrpSpPr/>
            </xdr:nvGrpSpPr>
            <xdr:grpSpPr>
              <a:xfrm>
                <a:off x="1883567" y="762000"/>
                <a:ext cx="6765133" cy="4691062"/>
                <a:chOff x="1881596" y="762000"/>
                <a:chExt cx="6779585" cy="4691062"/>
              </a:xfrm>
            </xdr:grpSpPr>
            <xdr:sp macro="" textlink="">
              <xdr:nvSpPr>
                <xdr:cNvPr id="4" name="Retângulo: Cantos Arredondados 3">
                  <a:extLst>
                    <a:ext uri="{FF2B5EF4-FFF2-40B4-BE49-F238E27FC236}">
                      <a16:creationId xmlns:a16="http://schemas.microsoft.com/office/drawing/2014/main" id="{CC6B4E57-5B37-A3D3-19BB-92EA1E93F90F}"/>
                    </a:ext>
                  </a:extLst>
                </xdr:cNvPr>
                <xdr:cNvSpPr/>
              </xdr:nvSpPr>
              <xdr:spPr>
                <a:xfrm>
                  <a:off x="1881598" y="762000"/>
                  <a:ext cx="6779583" cy="4691062"/>
                </a:xfrm>
                <a:prstGeom prst="roundRect">
                  <a:avLst>
                    <a:gd name="adj" fmla="val 3688"/>
                  </a:avLst>
                </a:prstGeom>
                <a:ln>
                  <a:noFill/>
                </a:ln>
              </xdr:spPr>
              <xdr:style>
                <a:lnRef idx="2">
                  <a:schemeClr val="accent4"/>
                </a:lnRef>
                <a:fillRef idx="1">
                  <a:schemeClr val="lt1"/>
                </a:fillRef>
                <a:effectRef idx="0">
                  <a:schemeClr val="accent4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  <xdr:sp macro="" textlink="">
              <xdr:nvSpPr>
                <xdr:cNvPr id="6" name="Retângulo: Cantos Superiores Arredondados 5">
                  <a:extLst>
                    <a:ext uri="{FF2B5EF4-FFF2-40B4-BE49-F238E27FC236}">
                      <a16:creationId xmlns:a16="http://schemas.microsoft.com/office/drawing/2014/main" id="{A6320BA2-D7AA-3FB6-DDC1-47DDF45782B4}"/>
                    </a:ext>
                  </a:extLst>
                </xdr:cNvPr>
                <xdr:cNvSpPr/>
              </xdr:nvSpPr>
              <xdr:spPr>
                <a:xfrm>
                  <a:off x="1881596" y="762001"/>
                  <a:ext cx="6779585" cy="773906"/>
                </a:xfrm>
                <a:prstGeom prst="round2SameRect">
                  <a:avLst>
                    <a:gd name="adj1" fmla="val 19129"/>
                    <a:gd name="adj2" fmla="val 0"/>
                  </a:avLst>
                </a:prstGeom>
                <a:solidFill>
                  <a:srgbClr val="0099CC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</xdr:grp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09E9655E-8428-4AE3-B018-33E901B0AF4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014536" y="1948291"/>
              <a:ext cx="6398685" cy="331427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B2D1A067-6F74-77C6-A3B1-24FE35B05492}"/>
                </a:ext>
              </a:extLst>
            </xdr:cNvPr>
            <xdr:cNvSpPr txBox="1"/>
          </xdr:nvSpPr>
          <xdr:spPr>
            <a:xfrm>
              <a:off x="2745155" y="902895"/>
              <a:ext cx="1823357" cy="39460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2800" kern="1200">
                  <a:solidFill>
                    <a:schemeClr val="bg1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rPr>
                <a:t>Entradas</a:t>
              </a:r>
            </a:p>
          </xdr:txBody>
        </xdr:sp>
      </xdr:grpSp>
      <xdr:pic>
        <xdr:nvPicPr>
          <xdr:cNvPr id="19" name="Gráfico 18" descr="Moedas estrutura de tópicos">
            <a:extLst>
              <a:ext uri="{FF2B5EF4-FFF2-40B4-BE49-F238E27FC236}">
                <a16:creationId xmlns:a16="http://schemas.microsoft.com/office/drawing/2014/main" id="{7DA92AD7-8317-E23C-0F55-1E9DA9F761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240406" y="444409"/>
            <a:ext cx="649421" cy="65096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68034</xdr:colOff>
      <xdr:row>3</xdr:row>
      <xdr:rowOff>13606</xdr:rowOff>
    </xdr:from>
    <xdr:to>
      <xdr:col>0</xdr:col>
      <xdr:colOff>2530927</xdr:colOff>
      <xdr:row>11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Mês">
              <a:extLst>
                <a:ext uri="{FF2B5EF4-FFF2-40B4-BE49-F238E27FC236}">
                  <a16:creationId xmlns:a16="http://schemas.microsoft.com/office/drawing/2014/main" id="{CF6EA0B1-BEDA-4483-8F43-3F6A7DF1BE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4" y="585106"/>
              <a:ext cx="2462893" cy="1605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68034</xdr:colOff>
      <xdr:row>20</xdr:row>
      <xdr:rowOff>108856</xdr:rowOff>
    </xdr:from>
    <xdr:to>
      <xdr:col>0</xdr:col>
      <xdr:colOff>2476500</xdr:colOff>
      <xdr:row>37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Categoria">
              <a:extLst>
                <a:ext uri="{FF2B5EF4-FFF2-40B4-BE49-F238E27FC236}">
                  <a16:creationId xmlns:a16="http://schemas.microsoft.com/office/drawing/2014/main" id="{6C5B5480-5BFD-4A45-ADF3-BD827CB50B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4" y="3918856"/>
              <a:ext cx="2408466" cy="3224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</xdr:colOff>
      <xdr:row>11</xdr:row>
      <xdr:rowOff>108857</xdr:rowOff>
    </xdr:from>
    <xdr:to>
      <xdr:col>0</xdr:col>
      <xdr:colOff>2515960</xdr:colOff>
      <xdr:row>18</xdr:row>
      <xdr:rowOff>146957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5" name="Data">
              <a:extLst>
                <a:ext uri="{FF2B5EF4-FFF2-40B4-BE49-F238E27FC236}">
                  <a16:creationId xmlns:a16="http://schemas.microsoft.com/office/drawing/2014/main" id="{ED52349B-62A2-4326-B17A-EA85DFA6F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5" y="2204357"/>
              <a:ext cx="24479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13</xdr:col>
      <xdr:colOff>121227</xdr:colOff>
      <xdr:row>2</xdr:row>
      <xdr:rowOff>51955</xdr:rowOff>
    </xdr:from>
    <xdr:to>
      <xdr:col>19</xdr:col>
      <xdr:colOff>733210</xdr:colOff>
      <xdr:row>26</xdr:row>
      <xdr:rowOff>171017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2F01A3E-FB70-4E96-A147-5C389F5FEB37}"/>
            </a:ext>
          </a:extLst>
        </xdr:cNvPr>
        <xdr:cNvGrpSpPr/>
      </xdr:nvGrpSpPr>
      <xdr:grpSpPr>
        <a:xfrm>
          <a:off x="11891406" y="432955"/>
          <a:ext cx="5183983" cy="4691062"/>
          <a:chOff x="2095196" y="400793"/>
          <a:chExt cx="6715827" cy="4691062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5BC4B713-221C-38FC-9CA4-315F2C7EF1C2}"/>
              </a:ext>
            </a:extLst>
          </xdr:cNvPr>
          <xdr:cNvGrpSpPr/>
        </xdr:nvGrpSpPr>
        <xdr:grpSpPr>
          <a:xfrm>
            <a:off x="2095196" y="400793"/>
            <a:ext cx="6715827" cy="4691062"/>
            <a:chOff x="1886288" y="762000"/>
            <a:chExt cx="6795069" cy="4691062"/>
          </a:xfrm>
        </xdr:grpSpPr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DE500B59-FCF2-91E3-EBF6-77355DA1A3F9}"/>
                </a:ext>
              </a:extLst>
            </xdr:cNvPr>
            <xdr:cNvGrpSpPr/>
          </xdr:nvGrpSpPr>
          <xdr:grpSpPr>
            <a:xfrm>
              <a:off x="1886288" y="762000"/>
              <a:ext cx="6795069" cy="4691062"/>
              <a:chOff x="1881596" y="762000"/>
              <a:chExt cx="6779585" cy="4691062"/>
            </a:xfrm>
          </xdr:grpSpPr>
          <xdr:sp macro="" textlink="">
            <xdr:nvSpPr>
              <xdr:cNvPr id="33" name="Retângulo: Cantos Arredondados 32">
                <a:extLst>
                  <a:ext uri="{FF2B5EF4-FFF2-40B4-BE49-F238E27FC236}">
                    <a16:creationId xmlns:a16="http://schemas.microsoft.com/office/drawing/2014/main" id="{DA23AB74-8761-7E27-DDE5-12B3E0BD462F}"/>
                  </a:ext>
                </a:extLst>
              </xdr:cNvPr>
              <xdr:cNvSpPr/>
            </xdr:nvSpPr>
            <xdr:spPr>
              <a:xfrm>
                <a:off x="1881598" y="762000"/>
                <a:ext cx="6779583" cy="4691062"/>
              </a:xfrm>
              <a:prstGeom prst="roundRect">
                <a:avLst>
                  <a:gd name="adj" fmla="val 3688"/>
                </a:avLst>
              </a:prstGeom>
              <a:ln>
                <a:noFill/>
              </a:ln>
            </xdr:spPr>
            <xdr:style>
              <a:lnRef idx="2">
                <a:schemeClr val="accent4"/>
              </a:lnRef>
              <a:fillRef idx="1">
                <a:schemeClr val="lt1"/>
              </a:fillRef>
              <a:effectRef idx="0">
                <a:schemeClr val="accent4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34" name="Retângulo: Cantos Superiores Arredondados 33">
                <a:extLst>
                  <a:ext uri="{FF2B5EF4-FFF2-40B4-BE49-F238E27FC236}">
                    <a16:creationId xmlns:a16="http://schemas.microsoft.com/office/drawing/2014/main" id="{246FA2F9-BFA7-48D4-9C89-02AFD1B3AB18}"/>
                  </a:ext>
                </a:extLst>
              </xdr:cNvPr>
              <xdr:cNvSpPr/>
            </xdr:nvSpPr>
            <xdr:spPr>
              <a:xfrm>
                <a:off x="1881596" y="762001"/>
                <a:ext cx="6779585" cy="773906"/>
              </a:xfrm>
              <a:prstGeom prst="round2SameRect">
                <a:avLst>
                  <a:gd name="adj1" fmla="val 19129"/>
                  <a:gd name="adj2" fmla="val 0"/>
                </a:avLst>
              </a:prstGeom>
              <a:solidFill>
                <a:srgbClr val="0099CC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60F6660E-A8A2-D593-8DBE-3C22B7AC81B2}"/>
                </a:ext>
              </a:extLst>
            </xdr:cNvPr>
            <xdr:cNvSpPr txBox="1"/>
          </xdr:nvSpPr>
          <xdr:spPr>
            <a:xfrm>
              <a:off x="2745154" y="972168"/>
              <a:ext cx="2568887" cy="378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2800" kern="1200">
                  <a:solidFill>
                    <a:schemeClr val="bg1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rPr>
                <a:t>Economias</a:t>
              </a:r>
            </a:p>
          </xdr:txBody>
        </xdr:sp>
      </xdr:grpSp>
      <xdr:pic>
        <xdr:nvPicPr>
          <xdr:cNvPr id="28" name="Gráfico 27" descr="Cofrinho estrutura de tópicos">
            <a:extLst>
              <a:ext uri="{FF2B5EF4-FFF2-40B4-BE49-F238E27FC236}">
                <a16:creationId xmlns:a16="http://schemas.microsoft.com/office/drawing/2014/main" id="{43E6F56F-C164-3EB2-00B4-C0C34D1AD0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2217970" y="484610"/>
            <a:ext cx="774652" cy="597958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450272</xdr:colOff>
      <xdr:row>7</xdr:row>
      <xdr:rowOff>34637</xdr:rowOff>
    </xdr:from>
    <xdr:to>
      <xdr:col>18</xdr:col>
      <xdr:colOff>526472</xdr:colOff>
      <xdr:row>25</xdr:row>
      <xdr:rowOff>29875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7DDF3FC8-3ED1-4203-AC8E-92F49136C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eRo" refreshedDate="45669.915565162039" createdVersion="8" refreshedVersion="8" minRefreshableVersion="3" recordCount="44" xr:uid="{CF555E5D-30FC-44D3-A62A-A5D2B2725BF8}">
  <cacheSource type="worksheet">
    <worksheetSource name="Tab_data"/>
  </cacheSource>
  <cacheFields count="8">
    <cacheField name="Data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</cacheField>
    <cacheField name="Mês" numFmtId="169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166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6316003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Salário mensal"/>
    <n v="5000"/>
    <s v="Transferência"/>
    <s v="Recebido"/>
  </r>
  <r>
    <x v="0"/>
    <x v="0"/>
    <x v="1"/>
    <x v="1"/>
    <s v="Compras no supermercado"/>
    <n v="550"/>
    <s v="Débito Automático"/>
    <s v="Pendente"/>
  </r>
  <r>
    <x v="1"/>
    <x v="0"/>
    <x v="1"/>
    <x v="2"/>
    <s v="Gasolina"/>
    <n v="300"/>
    <s v="Cartão de Crédito"/>
    <s v="Pago"/>
  </r>
  <r>
    <x v="2"/>
    <x v="0"/>
    <x v="1"/>
    <x v="3"/>
    <s v="Cinema"/>
    <n v="120"/>
    <s v="Cartão de Crédito"/>
    <s v="Pago"/>
  </r>
  <r>
    <x v="3"/>
    <x v="0"/>
    <x v="1"/>
    <x v="4"/>
    <s v="Consulta odontológica"/>
    <n v="250"/>
    <s v="Transferência"/>
    <s v="Pago"/>
  </r>
  <r>
    <x v="4"/>
    <x v="0"/>
    <x v="1"/>
    <x v="5"/>
    <s v="Material escolar"/>
    <n v="400"/>
    <s v="Débito Automático"/>
    <s v="Pendente"/>
  </r>
  <r>
    <x v="5"/>
    <x v="0"/>
    <x v="1"/>
    <x v="6"/>
    <s v="Compra de roupas de inverno"/>
    <n v="600"/>
    <s v="Cartão de Crédito"/>
    <s v="Pendente"/>
  </r>
  <r>
    <x v="6"/>
    <x v="0"/>
    <x v="0"/>
    <x v="7"/>
    <s v="Dividendos de ações"/>
    <n v="800"/>
    <s v="Transferência"/>
    <s v="Recebido"/>
  </r>
  <r>
    <x v="6"/>
    <x v="0"/>
    <x v="1"/>
    <x v="8"/>
    <s v="Limpeza do apartamento"/>
    <n v="150"/>
    <s v="Transferência"/>
    <s v="Pago"/>
  </r>
  <r>
    <x v="7"/>
    <x v="0"/>
    <x v="1"/>
    <x v="9"/>
    <s v="Compra de novo celular"/>
    <n v="1200"/>
    <s v="Cartão de Crédito"/>
    <s v="Pendente"/>
  </r>
  <r>
    <x v="8"/>
    <x v="0"/>
    <x v="1"/>
    <x v="10"/>
    <s v="Reparos domésticos"/>
    <n v="450"/>
    <s v="Débito Automático"/>
    <s v="Pago"/>
  </r>
  <r>
    <x v="9"/>
    <x v="0"/>
    <x v="1"/>
    <x v="11"/>
    <s v="Presente de aniversário"/>
    <n v="180"/>
    <s v="Transferência"/>
    <s v="Pendente"/>
  </r>
  <r>
    <x v="10"/>
    <x v="0"/>
    <x v="1"/>
    <x v="12"/>
    <s v="Corte de cabelo e barba"/>
    <n v="80"/>
    <s v="Débito Automático"/>
    <s v="Pago"/>
  </r>
  <r>
    <x v="11"/>
    <x v="0"/>
    <x v="1"/>
    <x v="13"/>
    <s v="Ração e petiscos para o cachorro"/>
    <n v="200"/>
    <s v="Débito Automático"/>
    <s v="Pago"/>
  </r>
  <r>
    <x v="12"/>
    <x v="0"/>
    <x v="1"/>
    <x v="14"/>
    <s v="Reserva de pousada"/>
    <n v="750"/>
    <s v="Transferência"/>
    <s v="Pendente"/>
  </r>
  <r>
    <x v="13"/>
    <x v="0"/>
    <x v="1"/>
    <x v="15"/>
    <s v="Jantar em restaurante francês"/>
    <n v="350"/>
    <s v="Cartão de Crédito"/>
    <s v="Pago"/>
  </r>
  <r>
    <x v="14"/>
    <x v="1"/>
    <x v="0"/>
    <x v="0"/>
    <s v="Salário mensal"/>
    <n v="5000"/>
    <s v="Transferência"/>
    <s v="Recebido"/>
  </r>
  <r>
    <x v="15"/>
    <x v="1"/>
    <x v="1"/>
    <x v="1"/>
    <s v="Compras no supermercado"/>
    <n v="450"/>
    <s v="Débito Automático"/>
    <s v="Pendente"/>
  </r>
  <r>
    <x v="16"/>
    <x v="1"/>
    <x v="1"/>
    <x v="2"/>
    <s v="Gasolina"/>
    <n v="300"/>
    <s v="Débito Automático"/>
    <s v="Pago"/>
  </r>
  <r>
    <x v="17"/>
    <x v="1"/>
    <x v="1"/>
    <x v="3"/>
    <s v="Cinema e jantar"/>
    <n v="200"/>
    <s v="Transferência"/>
    <s v="Pago"/>
  </r>
  <r>
    <x v="18"/>
    <x v="1"/>
    <x v="1"/>
    <x v="4"/>
    <s v="Plano de saúde"/>
    <n v="600"/>
    <s v="Débito Automático"/>
    <s v="Pendente"/>
  </r>
  <r>
    <x v="19"/>
    <x v="1"/>
    <x v="1"/>
    <x v="5"/>
    <s v="Material escolar"/>
    <n v="350"/>
    <s v="Transferência"/>
    <s v="Pago"/>
  </r>
  <r>
    <x v="20"/>
    <x v="1"/>
    <x v="1"/>
    <x v="6"/>
    <s v="Compra de roupas"/>
    <n v="500"/>
    <s v="Cartão de Crédito"/>
    <s v="Pendente"/>
  </r>
  <r>
    <x v="21"/>
    <x v="1"/>
    <x v="0"/>
    <x v="16"/>
    <s v="Pagamento por projeto freelancer"/>
    <n v="1200"/>
    <s v="Transferência"/>
    <s v="Recebido"/>
  </r>
  <r>
    <x v="21"/>
    <x v="1"/>
    <x v="1"/>
    <x v="8"/>
    <s v="Manutenção do veículo"/>
    <n v="800"/>
    <s v="Transferência"/>
    <s v="Pago"/>
  </r>
  <r>
    <x v="22"/>
    <x v="1"/>
    <x v="1"/>
    <x v="9"/>
    <s v="Compra de novo smartphone"/>
    <n v="1500"/>
    <s v="Cartão de Crédito"/>
    <s v="Pendente"/>
  </r>
  <r>
    <x v="23"/>
    <x v="1"/>
    <x v="1"/>
    <x v="17"/>
    <s v="Conta de energia elétrica"/>
    <n v="250"/>
    <s v="Débito Automático"/>
    <s v="Pago"/>
  </r>
  <r>
    <x v="24"/>
    <x v="1"/>
    <x v="1"/>
    <x v="11"/>
    <s v="Aniversário da mãe"/>
    <n v="400"/>
    <s v="Cartão de Crédito"/>
    <s v="Pendente"/>
  </r>
  <r>
    <x v="25"/>
    <x v="2"/>
    <x v="0"/>
    <x v="0"/>
    <s v="Salário mensal"/>
    <n v="5000"/>
    <s v="Transferência"/>
    <s v="Recebido"/>
  </r>
  <r>
    <x v="25"/>
    <x v="2"/>
    <x v="1"/>
    <x v="1"/>
    <s v="Compras no supermercado"/>
    <n v="600"/>
    <s v="Débito Automático"/>
    <s v="Pendente"/>
  </r>
  <r>
    <x v="26"/>
    <x v="2"/>
    <x v="1"/>
    <x v="2"/>
    <s v="Recarga de cartão de transporte"/>
    <n v="200"/>
    <s v="Cartão de Crédito"/>
    <s v="Pago"/>
  </r>
  <r>
    <x v="27"/>
    <x v="2"/>
    <x v="1"/>
    <x v="3"/>
    <s v="Ingressos para teatro"/>
    <n v="180"/>
    <s v="Transferência"/>
    <s v="Pago"/>
  </r>
  <r>
    <x v="28"/>
    <x v="2"/>
    <x v="1"/>
    <x v="4"/>
    <s v="Remédios de farmácia"/>
    <n v="120"/>
    <s v="Débito Automático"/>
    <s v="Pendente"/>
  </r>
  <r>
    <x v="29"/>
    <x v="2"/>
    <x v="1"/>
    <x v="5"/>
    <s v="Cursos online"/>
    <n v="350"/>
    <s v="Cartão de Crédito"/>
    <s v="Pendente"/>
  </r>
  <r>
    <x v="30"/>
    <x v="2"/>
    <x v="1"/>
    <x v="6"/>
    <s v="Roupas de primavera"/>
    <n v="400"/>
    <s v="Transferência"/>
    <s v="Pago"/>
  </r>
  <r>
    <x v="31"/>
    <x v="2"/>
    <x v="1"/>
    <x v="8"/>
    <s v="Manutenção da casa"/>
    <n v="450"/>
    <s v="Débito Automático"/>
    <s v="Pago"/>
  </r>
  <r>
    <x v="32"/>
    <x v="2"/>
    <x v="0"/>
    <x v="18"/>
    <s v="Venda de equipamentos eletrônicos"/>
    <n v="1500"/>
    <s v="Transferência"/>
    <s v="Recebido"/>
  </r>
  <r>
    <x v="32"/>
    <x v="2"/>
    <x v="1"/>
    <x v="9"/>
    <s v="Manutenção do computador"/>
    <n v="300"/>
    <s v="Cartão de Crédito"/>
    <s v="Pendente"/>
  </r>
  <r>
    <x v="33"/>
    <x v="2"/>
    <x v="1"/>
    <x v="10"/>
    <s v="Troca de móveis da cozinha"/>
    <n v="800"/>
    <s v="Transferência"/>
    <s v="Pago"/>
  </r>
  <r>
    <x v="34"/>
    <x v="2"/>
    <x v="1"/>
    <x v="11"/>
    <s v="Presentes para casamento"/>
    <n v="250"/>
    <s v="Cartão de Crédito"/>
    <s v="Pendente"/>
  </r>
  <r>
    <x v="35"/>
    <x v="2"/>
    <x v="1"/>
    <x v="13"/>
    <s v="Veterinário para o pet"/>
    <n v="150"/>
    <s v="Débito Automático"/>
    <s v="Pago"/>
  </r>
  <r>
    <x v="36"/>
    <x v="2"/>
    <x v="1"/>
    <x v="12"/>
    <s v="Salão de beleza"/>
    <n v="250"/>
    <s v="Transferência"/>
    <s v="Pendente"/>
  </r>
  <r>
    <x v="37"/>
    <x v="2"/>
    <x v="1"/>
    <x v="15"/>
    <s v="Jantar em restaurante italiano"/>
    <n v="220"/>
    <s v="Transferência"/>
    <s v="Pendente"/>
  </r>
  <r>
    <x v="38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90B8E-9E18-4F46-AA7E-7AAB7A30CEC3}" name="Tabela dinâ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F4:G7" firstHeaderRow="1" firstDataRow="1" firstDataCol="1" rowPageCount="1" colPageCount="1"/>
  <pivotFields count="8">
    <pivotField numFmtId="14" showAll="0"/>
    <pivotField numFmtId="169" showAll="0">
      <items count="4">
        <item h="1" x="0"/>
        <item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3">
    <i>
      <x v="4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6"/>
  </dataField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48FE7-B227-4158-8FE5-AD7EF4F48C83}" name="Tabela dinâmica1" cacheId="2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C4:D15" firstHeaderRow="1" firstDataRow="1" firstDataCol="1" rowPageCount="1" colPageCount="1"/>
  <pivotFields count="8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69" showAll="0">
      <items count="4">
        <item h="1" x="0"/>
        <item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11">
    <i>
      <x/>
    </i>
    <i>
      <x v="2"/>
    </i>
    <i>
      <x v="3"/>
    </i>
    <i>
      <x v="7"/>
    </i>
    <i>
      <x v="9"/>
    </i>
    <i>
      <x v="11"/>
    </i>
    <i>
      <x v="12"/>
    </i>
    <i>
      <x v="13"/>
    </i>
    <i>
      <x v="14"/>
    </i>
    <i>
      <x v="17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166"/>
  </dataFields>
  <chartFormats count="1"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3243033B-D3EF-4306-8D07-7806C091E4D7}" sourceName="Mês">
  <pivotTables>
    <pivotTable tabId="2" name="Tabela dinâmica1"/>
    <pivotTable tabId="2" name="Tabela dinâmica2"/>
  </pivotTables>
  <data>
    <tabular pivotCacheId="631600371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715BCD54-F4BD-408A-B6CC-6FB67CBFD2D7}" sourceName="Categoria">
  <pivotTables>
    <pivotTable tabId="2" name="Tabela dinâmica1"/>
  </pivotTables>
  <data>
    <tabular pivotCacheId="631600371">
      <items count="19">
        <i x="1" s="1"/>
        <i x="5" s="1"/>
        <i x="9" s="1"/>
        <i x="3" s="1"/>
        <i x="11" s="1"/>
        <i x="4" s="1"/>
        <i x="8" s="1"/>
        <i x="2" s="1"/>
        <i x="17" s="1"/>
        <i x="6" s="1"/>
        <i x="12" s="1" nd="1"/>
        <i x="16" s="1" nd="1"/>
        <i x="15" s="1" nd="1"/>
        <i x="7" s="1" nd="1"/>
        <i x="13" s="1" nd="1"/>
        <i x="0" s="1" nd="1"/>
        <i x="10" s="1" nd="1"/>
        <i x="18" s="1" nd="1"/>
        <i x="1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950E3851-223A-4E3C-AEDA-E762BBF937A1}" cache="SegmentaçãodeDados_Mês" caption="Meses" style="SlicerStyleDark1 2" rowHeight="257175"/>
  <slicer name="Categoria" xr10:uid="{4DDA61B8-6202-48EB-BA86-B25762D83397}" cache="SegmentaçãodeDados_Categoria" caption="Categoria" style="SlicerStyleDark1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913B90-B27A-48B2-B2BE-566D482215DA}" name="Tab_data" displayName="Tab_data" ref="A1:H45" totalsRowShown="0">
  <autoFilter ref="A1:H45" xr:uid="{DA913B90-B27A-48B2-B2BE-566D482215DA}"/>
  <tableColumns count="8">
    <tableColumn id="1" xr3:uid="{C81EEBB8-D737-46DE-BC94-EDE729C69AD8}" name="Data"/>
    <tableColumn id="8" xr3:uid="{C2CE8036-064D-45E6-909E-9803C3B2051B}" name="Mês" dataDxfId="8" dataCellStyle="Vírgula">
      <calculatedColumnFormula>MONTH(Tab_data[[#This Row],[Data]])</calculatedColumnFormula>
    </tableColumn>
    <tableColumn id="2" xr3:uid="{DD34152C-4ED1-4D35-B249-4CA1A472BC7E}" name="Tipo"/>
    <tableColumn id="3" xr3:uid="{1C8CE340-30E4-46AC-9CEC-81F6640435A0}" name="Categoria"/>
    <tableColumn id="4" xr3:uid="{83BD676F-9E18-487F-B1D4-D706E3E1DFD3}" name="Descrição"/>
    <tableColumn id="5" xr3:uid="{9A021005-6B53-4D01-9C88-96E751D7DC30}" name="Valor"/>
    <tableColumn id="6" xr3:uid="{A3DD8765-A41B-47D6-8058-6AE3EA4827AA}" name="Operação Bancária"/>
    <tableColumn id="7" xr3:uid="{6B4FF9ED-CF02-4A2D-A9B7-D292724B7E4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7CA8C-3477-470A-809B-42614BB55A06}" name="Tabela2" displayName="Tabela2" ref="D6:E21" totalsRowCount="1">
  <autoFilter ref="D6:E20" xr:uid="{4157CA8C-3477-470A-809B-42614BB55A06}"/>
  <tableColumns count="2">
    <tableColumn id="1" xr3:uid="{13D0AC94-5FD8-4A96-A23F-0C7F7DF8F072}" name="Data de Lançamento" dataDxfId="3" totalsRowDxfId="1" dataCellStyle="Moeda"/>
    <tableColumn id="2" xr3:uid="{C62AD2E5-A0D6-44DB-832F-88EA6A584CB7}" name="Depósito Reservado" dataDxfId="2" totalsRow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85FCFC12-5140-40E2-A6CB-75151793296D}" sourceName="Data">
  <pivotTables>
    <pivotTable tabId="2" name="Tabela dinâmica1"/>
  </pivotTables>
  <state minimalRefreshVersion="6" lastRefreshVersion="6" pivotCacheId="63160037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BD950C95-7481-493A-921D-5CD1B52D90A2}" cache="NativeTimeline_Data" caption="Data" level="2" selectionLevel="2" scrollPosition="2024-06-09T00:00:00" style="TimeSlicerStyleLight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EE5B-8C82-4963-9330-8C41C758DC3C}">
  <sheetPr>
    <tabColor theme="1" tint="0.499984740745262"/>
  </sheetPr>
  <dimension ref="A1:H45"/>
  <sheetViews>
    <sheetView workbookViewId="0">
      <selection activeCell="B1" sqref="B1:B1048576"/>
    </sheetView>
  </sheetViews>
  <sheetFormatPr defaultRowHeight="15" x14ac:dyDescent="0.25"/>
  <cols>
    <col min="1" max="1" width="10.42578125" bestFit="1" customWidth="1"/>
    <col min="2" max="2" width="8.42578125" style="12" bestFit="1" customWidth="1"/>
    <col min="4" max="4" width="28.140625" customWidth="1"/>
    <col min="5" max="5" width="37.28515625" customWidth="1"/>
    <col min="6" max="6" width="11.5703125" bestFit="1" customWidth="1"/>
    <col min="7" max="7" width="20.140625" bestFit="1" customWidth="1"/>
    <col min="8" max="8" width="12.5703125" customWidth="1"/>
  </cols>
  <sheetData>
    <row r="1" spans="1:8" x14ac:dyDescent="0.25">
      <c r="A1" t="s">
        <v>0</v>
      </c>
      <c r="B1" s="12" t="s">
        <v>78</v>
      </c>
      <c r="C1" t="s">
        <v>1</v>
      </c>
      <c r="D1" t="s">
        <v>4</v>
      </c>
      <c r="E1" t="s">
        <v>2</v>
      </c>
      <c r="F1" t="s">
        <v>3</v>
      </c>
      <c r="G1" t="s">
        <v>5</v>
      </c>
      <c r="H1" t="s">
        <v>6</v>
      </c>
    </row>
    <row r="2" spans="1:8" x14ac:dyDescent="0.25">
      <c r="A2" s="1">
        <v>45505</v>
      </c>
      <c r="B2" s="11">
        <f>MONTH(Tab_data[[#This Row],[Data]])</f>
        <v>8</v>
      </c>
      <c r="C2" s="2" t="s">
        <v>7</v>
      </c>
      <c r="D2" s="4" t="s">
        <v>9</v>
      </c>
      <c r="E2" s="4" t="s">
        <v>10</v>
      </c>
      <c r="F2" s="5">
        <v>5000</v>
      </c>
      <c r="G2" s="4" t="s">
        <v>11</v>
      </c>
      <c r="H2" s="4" t="s">
        <v>12</v>
      </c>
    </row>
    <row r="3" spans="1:8" x14ac:dyDescent="0.25">
      <c r="A3" s="1">
        <v>45505</v>
      </c>
      <c r="B3" s="11">
        <f>MONTH(Tab_data[[#This Row],[Data]])</f>
        <v>8</v>
      </c>
      <c r="C3" s="2" t="s">
        <v>8</v>
      </c>
      <c r="D3" s="4" t="s">
        <v>13</v>
      </c>
      <c r="E3" s="4" t="s">
        <v>14</v>
      </c>
      <c r="F3" s="5">
        <v>550</v>
      </c>
      <c r="G3" s="4" t="s">
        <v>15</v>
      </c>
      <c r="H3" s="4" t="s">
        <v>16</v>
      </c>
    </row>
    <row r="4" spans="1:8" x14ac:dyDescent="0.25">
      <c r="A4" s="1">
        <v>45507</v>
      </c>
      <c r="B4" s="11">
        <f>MONTH(Tab_data[[#This Row],[Data]])</f>
        <v>8</v>
      </c>
      <c r="C4" s="2" t="s">
        <v>8</v>
      </c>
      <c r="D4" s="4" t="s">
        <v>17</v>
      </c>
      <c r="E4" s="4" t="s">
        <v>18</v>
      </c>
      <c r="F4" s="5">
        <v>300</v>
      </c>
      <c r="G4" s="4" t="s">
        <v>19</v>
      </c>
      <c r="H4" s="4" t="s">
        <v>20</v>
      </c>
    </row>
    <row r="5" spans="1:8" x14ac:dyDescent="0.25">
      <c r="A5" s="1">
        <v>45509</v>
      </c>
      <c r="B5" s="11">
        <f>MONTH(Tab_data[[#This Row],[Data]])</f>
        <v>8</v>
      </c>
      <c r="C5" s="2" t="s">
        <v>8</v>
      </c>
      <c r="D5" s="4" t="s">
        <v>21</v>
      </c>
      <c r="E5" s="4" t="s">
        <v>22</v>
      </c>
      <c r="F5" s="5">
        <v>120</v>
      </c>
      <c r="G5" s="4" t="s">
        <v>19</v>
      </c>
      <c r="H5" s="4" t="s">
        <v>20</v>
      </c>
    </row>
    <row r="6" spans="1:8" x14ac:dyDescent="0.25">
      <c r="A6" s="1">
        <v>45511</v>
      </c>
      <c r="B6" s="11">
        <f>MONTH(Tab_data[[#This Row],[Data]])</f>
        <v>8</v>
      </c>
      <c r="C6" s="2" t="s">
        <v>8</v>
      </c>
      <c r="D6" s="4" t="s">
        <v>23</v>
      </c>
      <c r="E6" s="4" t="s">
        <v>24</v>
      </c>
      <c r="F6" s="5">
        <v>250</v>
      </c>
      <c r="G6" s="4" t="s">
        <v>11</v>
      </c>
      <c r="H6" s="4" t="s">
        <v>20</v>
      </c>
    </row>
    <row r="7" spans="1:8" x14ac:dyDescent="0.25">
      <c r="A7" s="1">
        <v>45514</v>
      </c>
      <c r="B7" s="11">
        <f>MONTH(Tab_data[[#This Row],[Data]])</f>
        <v>8</v>
      </c>
      <c r="C7" s="2" t="s">
        <v>8</v>
      </c>
      <c r="D7" s="4" t="s">
        <v>25</v>
      </c>
      <c r="E7" s="4" t="s">
        <v>26</v>
      </c>
      <c r="F7" s="5">
        <v>400</v>
      </c>
      <c r="G7" s="4" t="s">
        <v>15</v>
      </c>
      <c r="H7" s="4" t="s">
        <v>16</v>
      </c>
    </row>
    <row r="8" spans="1:8" x14ac:dyDescent="0.25">
      <c r="A8" s="1">
        <v>45516</v>
      </c>
      <c r="B8" s="11">
        <f>MONTH(Tab_data[[#This Row],[Data]])</f>
        <v>8</v>
      </c>
      <c r="C8" s="2" t="s">
        <v>8</v>
      </c>
      <c r="D8" s="4" t="s">
        <v>27</v>
      </c>
      <c r="E8" s="4" t="s">
        <v>28</v>
      </c>
      <c r="F8" s="5">
        <v>600</v>
      </c>
      <c r="G8" s="4" t="s">
        <v>19</v>
      </c>
      <c r="H8" s="4" t="s">
        <v>16</v>
      </c>
    </row>
    <row r="9" spans="1:8" x14ac:dyDescent="0.25">
      <c r="A9" s="1">
        <v>45519</v>
      </c>
      <c r="B9" s="11">
        <f>MONTH(Tab_data[[#This Row],[Data]])</f>
        <v>8</v>
      </c>
      <c r="C9" s="2" t="s">
        <v>7</v>
      </c>
      <c r="D9" s="4" t="s">
        <v>29</v>
      </c>
      <c r="E9" s="4" t="s">
        <v>30</v>
      </c>
      <c r="F9" s="5">
        <v>800</v>
      </c>
      <c r="G9" s="4" t="s">
        <v>11</v>
      </c>
      <c r="H9" s="4" t="s">
        <v>12</v>
      </c>
    </row>
    <row r="10" spans="1:8" x14ac:dyDescent="0.25">
      <c r="A10" s="1">
        <v>45519</v>
      </c>
      <c r="B10" s="11">
        <f>MONTH(Tab_data[[#This Row],[Data]])</f>
        <v>8</v>
      </c>
      <c r="C10" s="2" t="s">
        <v>8</v>
      </c>
      <c r="D10" s="4" t="s">
        <v>31</v>
      </c>
      <c r="E10" s="4" t="s">
        <v>32</v>
      </c>
      <c r="F10" s="5">
        <v>150</v>
      </c>
      <c r="G10" s="4" t="s">
        <v>11</v>
      </c>
      <c r="H10" s="4" t="s">
        <v>20</v>
      </c>
    </row>
    <row r="11" spans="1:8" x14ac:dyDescent="0.25">
      <c r="A11" s="1">
        <v>45522</v>
      </c>
      <c r="B11" s="11">
        <f>MONTH(Tab_data[[#This Row],[Data]])</f>
        <v>8</v>
      </c>
      <c r="C11" s="2" t="s">
        <v>8</v>
      </c>
      <c r="D11" s="4" t="s">
        <v>33</v>
      </c>
      <c r="E11" s="4" t="s">
        <v>34</v>
      </c>
      <c r="F11" s="5">
        <v>1200</v>
      </c>
      <c r="G11" s="4" t="s">
        <v>19</v>
      </c>
      <c r="H11" s="4" t="s">
        <v>16</v>
      </c>
    </row>
    <row r="12" spans="1:8" x14ac:dyDescent="0.25">
      <c r="A12" s="1">
        <v>45524</v>
      </c>
      <c r="B12" s="11">
        <f>MONTH(Tab_data[[#This Row],[Data]])</f>
        <v>8</v>
      </c>
      <c r="C12" s="2" t="s">
        <v>8</v>
      </c>
      <c r="D12" s="4" t="s">
        <v>35</v>
      </c>
      <c r="E12" s="4" t="s">
        <v>36</v>
      </c>
      <c r="F12" s="5">
        <v>450</v>
      </c>
      <c r="G12" s="4" t="s">
        <v>15</v>
      </c>
      <c r="H12" s="4" t="s">
        <v>20</v>
      </c>
    </row>
    <row r="13" spans="1:8" x14ac:dyDescent="0.25">
      <c r="A13" s="1">
        <v>45526</v>
      </c>
      <c r="B13" s="11">
        <f>MONTH(Tab_data[[#This Row],[Data]])</f>
        <v>8</v>
      </c>
      <c r="C13" s="2" t="s">
        <v>8</v>
      </c>
      <c r="D13" s="4" t="s">
        <v>37</v>
      </c>
      <c r="E13" s="4" t="s">
        <v>38</v>
      </c>
      <c r="F13" s="5">
        <v>180</v>
      </c>
      <c r="G13" s="4" t="s">
        <v>11</v>
      </c>
      <c r="H13" s="4" t="s">
        <v>16</v>
      </c>
    </row>
    <row r="14" spans="1:8" x14ac:dyDescent="0.25">
      <c r="A14" s="1">
        <v>45528</v>
      </c>
      <c r="B14" s="11">
        <f>MONTH(Tab_data[[#This Row],[Data]])</f>
        <v>8</v>
      </c>
      <c r="C14" s="2" t="s">
        <v>8</v>
      </c>
      <c r="D14" s="4" t="s">
        <v>39</v>
      </c>
      <c r="E14" s="4" t="s">
        <v>40</v>
      </c>
      <c r="F14" s="5">
        <v>80</v>
      </c>
      <c r="G14" s="4" t="s">
        <v>15</v>
      </c>
      <c r="H14" s="4" t="s">
        <v>20</v>
      </c>
    </row>
    <row r="15" spans="1:8" x14ac:dyDescent="0.25">
      <c r="A15" s="1">
        <v>45532</v>
      </c>
      <c r="B15" s="11">
        <f>MONTH(Tab_data[[#This Row],[Data]])</f>
        <v>8</v>
      </c>
      <c r="C15" s="2" t="s">
        <v>8</v>
      </c>
      <c r="D15" s="4" t="s">
        <v>41</v>
      </c>
      <c r="E15" s="4" t="s">
        <v>42</v>
      </c>
      <c r="F15" s="5">
        <v>200</v>
      </c>
      <c r="G15" s="4" t="s">
        <v>15</v>
      </c>
      <c r="H15" s="4" t="s">
        <v>20</v>
      </c>
    </row>
    <row r="16" spans="1:8" x14ac:dyDescent="0.25">
      <c r="A16" s="1">
        <v>45534</v>
      </c>
      <c r="B16" s="11">
        <f>MONTH(Tab_data[[#This Row],[Data]])</f>
        <v>8</v>
      </c>
      <c r="C16" s="2" t="s">
        <v>8</v>
      </c>
      <c r="D16" s="4" t="s">
        <v>43</v>
      </c>
      <c r="E16" s="4" t="s">
        <v>44</v>
      </c>
      <c r="F16" s="5">
        <v>750</v>
      </c>
      <c r="G16" s="4" t="s">
        <v>11</v>
      </c>
      <c r="H16" s="4" t="s">
        <v>16</v>
      </c>
    </row>
    <row r="17" spans="1:8" x14ac:dyDescent="0.25">
      <c r="A17" s="1">
        <v>45535</v>
      </c>
      <c r="B17" s="11">
        <f>MONTH(Tab_data[[#This Row],[Data]])</f>
        <v>8</v>
      </c>
      <c r="C17" s="2" t="s">
        <v>8</v>
      </c>
      <c r="D17" s="4" t="s">
        <v>45</v>
      </c>
      <c r="E17" s="4" t="s">
        <v>46</v>
      </c>
      <c r="F17" s="5">
        <v>350</v>
      </c>
      <c r="G17" s="4" t="s">
        <v>19</v>
      </c>
      <c r="H17" s="4" t="s">
        <v>20</v>
      </c>
    </row>
    <row r="18" spans="1:8" x14ac:dyDescent="0.25">
      <c r="A18" s="1">
        <v>45536</v>
      </c>
      <c r="B18" s="11">
        <f>MONTH(Tab_data[[#This Row],[Data]])</f>
        <v>9</v>
      </c>
      <c r="C18" s="2" t="s">
        <v>7</v>
      </c>
      <c r="D18" s="4" t="s">
        <v>9</v>
      </c>
      <c r="E18" s="4" t="s">
        <v>10</v>
      </c>
      <c r="F18" s="5">
        <v>5000</v>
      </c>
      <c r="G18" s="4" t="s">
        <v>11</v>
      </c>
      <c r="H18" s="4" t="s">
        <v>12</v>
      </c>
    </row>
    <row r="19" spans="1:8" x14ac:dyDescent="0.25">
      <c r="A19" s="1">
        <v>45537</v>
      </c>
      <c r="B19" s="11">
        <f>MONTH(Tab_data[[#This Row],[Data]])</f>
        <v>9</v>
      </c>
      <c r="C19" s="2" t="s">
        <v>8</v>
      </c>
      <c r="D19" s="4" t="s">
        <v>13</v>
      </c>
      <c r="E19" s="5" t="s">
        <v>14</v>
      </c>
      <c r="F19" s="5">
        <v>450</v>
      </c>
      <c r="G19" s="4" t="s">
        <v>15</v>
      </c>
      <c r="H19" s="4" t="s">
        <v>16</v>
      </c>
    </row>
    <row r="20" spans="1:8" x14ac:dyDescent="0.25">
      <c r="A20" s="1">
        <v>45540</v>
      </c>
      <c r="B20" s="11">
        <f>MONTH(Tab_data[[#This Row],[Data]])</f>
        <v>9</v>
      </c>
      <c r="C20" s="2" t="s">
        <v>8</v>
      </c>
      <c r="D20" s="4" t="s">
        <v>17</v>
      </c>
      <c r="E20" s="5" t="s">
        <v>18</v>
      </c>
      <c r="F20" s="5">
        <v>300</v>
      </c>
      <c r="G20" s="4" t="s">
        <v>15</v>
      </c>
      <c r="H20" s="4" t="s">
        <v>20</v>
      </c>
    </row>
    <row r="21" spans="1:8" x14ac:dyDescent="0.25">
      <c r="A21" s="1">
        <v>45543</v>
      </c>
      <c r="B21" s="11">
        <f>MONTH(Tab_data[[#This Row],[Data]])</f>
        <v>9</v>
      </c>
      <c r="C21" s="2" t="s">
        <v>8</v>
      </c>
      <c r="D21" s="4" t="s">
        <v>21</v>
      </c>
      <c r="E21" s="5" t="s">
        <v>47</v>
      </c>
      <c r="F21" s="5">
        <v>200</v>
      </c>
      <c r="G21" s="4" t="s">
        <v>11</v>
      </c>
      <c r="H21" s="4" t="s">
        <v>20</v>
      </c>
    </row>
    <row r="22" spans="1:8" x14ac:dyDescent="0.25">
      <c r="A22" s="1">
        <v>45546</v>
      </c>
      <c r="B22" s="11">
        <f>MONTH(Tab_data[[#This Row],[Data]])</f>
        <v>9</v>
      </c>
      <c r="C22" s="2" t="s">
        <v>8</v>
      </c>
      <c r="D22" s="4" t="s">
        <v>23</v>
      </c>
      <c r="E22" s="5" t="s">
        <v>48</v>
      </c>
      <c r="F22" s="5">
        <v>600</v>
      </c>
      <c r="G22" s="4" t="s">
        <v>15</v>
      </c>
      <c r="H22" s="4" t="s">
        <v>16</v>
      </c>
    </row>
    <row r="23" spans="1:8" x14ac:dyDescent="0.25">
      <c r="A23" s="1">
        <v>45549</v>
      </c>
      <c r="B23" s="11">
        <f>MONTH(Tab_data[[#This Row],[Data]])</f>
        <v>9</v>
      </c>
      <c r="C23" s="2" t="s">
        <v>8</v>
      </c>
      <c r="D23" s="4" t="s">
        <v>25</v>
      </c>
      <c r="E23" s="5" t="s">
        <v>26</v>
      </c>
      <c r="F23" s="5">
        <v>350</v>
      </c>
      <c r="G23" s="4" t="s">
        <v>11</v>
      </c>
      <c r="H23" s="4" t="s">
        <v>20</v>
      </c>
    </row>
    <row r="24" spans="1:8" x14ac:dyDescent="0.25">
      <c r="A24" s="1">
        <v>45552</v>
      </c>
      <c r="B24" s="11">
        <f>MONTH(Tab_data[[#This Row],[Data]])</f>
        <v>9</v>
      </c>
      <c r="C24" s="2" t="s">
        <v>8</v>
      </c>
      <c r="D24" s="4" t="s">
        <v>27</v>
      </c>
      <c r="E24" s="5" t="s">
        <v>49</v>
      </c>
      <c r="F24" s="5">
        <v>500</v>
      </c>
      <c r="G24" s="4" t="s">
        <v>19</v>
      </c>
      <c r="H24" s="4" t="s">
        <v>16</v>
      </c>
    </row>
    <row r="25" spans="1:8" x14ac:dyDescent="0.25">
      <c r="A25" s="1">
        <v>45555</v>
      </c>
      <c r="B25" s="11">
        <f>MONTH(Tab_data[[#This Row],[Data]])</f>
        <v>9</v>
      </c>
      <c r="C25" s="2" t="s">
        <v>7</v>
      </c>
      <c r="D25" s="4" t="s">
        <v>50</v>
      </c>
      <c r="E25" s="4" t="s">
        <v>51</v>
      </c>
      <c r="F25" s="5">
        <v>1200</v>
      </c>
      <c r="G25" s="4" t="s">
        <v>11</v>
      </c>
      <c r="H25" s="4" t="s">
        <v>12</v>
      </c>
    </row>
    <row r="26" spans="1:8" x14ac:dyDescent="0.25">
      <c r="A26" s="1">
        <v>45555</v>
      </c>
      <c r="B26" s="11">
        <f>MONTH(Tab_data[[#This Row],[Data]])</f>
        <v>9</v>
      </c>
      <c r="C26" s="2" t="s">
        <v>8</v>
      </c>
      <c r="D26" s="4" t="s">
        <v>31</v>
      </c>
      <c r="E26" s="5" t="s">
        <v>52</v>
      </c>
      <c r="F26" s="5">
        <v>800</v>
      </c>
      <c r="G26" s="4" t="s">
        <v>11</v>
      </c>
      <c r="H26" s="4" t="s">
        <v>20</v>
      </c>
    </row>
    <row r="27" spans="1:8" x14ac:dyDescent="0.25">
      <c r="A27" s="1">
        <v>45558</v>
      </c>
      <c r="B27" s="11">
        <f>MONTH(Tab_data[[#This Row],[Data]])</f>
        <v>9</v>
      </c>
      <c r="C27" s="2" t="s">
        <v>8</v>
      </c>
      <c r="D27" s="4" t="s">
        <v>33</v>
      </c>
      <c r="E27" s="5" t="s">
        <v>53</v>
      </c>
      <c r="F27" s="5">
        <v>1500</v>
      </c>
      <c r="G27" s="4" t="s">
        <v>19</v>
      </c>
      <c r="H27" s="4" t="s">
        <v>16</v>
      </c>
    </row>
    <row r="28" spans="1:8" x14ac:dyDescent="0.25">
      <c r="A28" s="1">
        <v>45561</v>
      </c>
      <c r="B28" s="11">
        <f>MONTH(Tab_data[[#This Row],[Data]])</f>
        <v>9</v>
      </c>
      <c r="C28" s="2" t="s">
        <v>8</v>
      </c>
      <c r="D28" s="4" t="s">
        <v>54</v>
      </c>
      <c r="E28" s="5" t="s">
        <v>55</v>
      </c>
      <c r="F28" s="5">
        <v>250</v>
      </c>
      <c r="G28" s="4" t="s">
        <v>15</v>
      </c>
      <c r="H28" s="4" t="s">
        <v>20</v>
      </c>
    </row>
    <row r="29" spans="1:8" x14ac:dyDescent="0.25">
      <c r="A29" s="1">
        <v>45564</v>
      </c>
      <c r="B29" s="11">
        <f>MONTH(Tab_data[[#This Row],[Data]])</f>
        <v>9</v>
      </c>
      <c r="C29" s="2" t="s">
        <v>8</v>
      </c>
      <c r="D29" s="4" t="s">
        <v>37</v>
      </c>
      <c r="E29" s="5" t="s">
        <v>56</v>
      </c>
      <c r="F29" s="5">
        <v>400</v>
      </c>
      <c r="G29" s="4" t="s">
        <v>19</v>
      </c>
      <c r="H29" s="4" t="s">
        <v>16</v>
      </c>
    </row>
    <row r="30" spans="1:8" x14ac:dyDescent="0.25">
      <c r="A30" s="1">
        <v>45566</v>
      </c>
      <c r="B30" s="11">
        <f>MONTH(Tab_data[[#This Row],[Data]])</f>
        <v>10</v>
      </c>
      <c r="C30" s="2" t="s">
        <v>7</v>
      </c>
      <c r="D30" s="4" t="s">
        <v>9</v>
      </c>
      <c r="E30" s="4" t="s">
        <v>10</v>
      </c>
      <c r="F30" s="5">
        <v>5000</v>
      </c>
      <c r="G30" s="4" t="s">
        <v>11</v>
      </c>
      <c r="H30" s="4" t="s">
        <v>12</v>
      </c>
    </row>
    <row r="31" spans="1:8" x14ac:dyDescent="0.25">
      <c r="A31" s="1">
        <v>45566</v>
      </c>
      <c r="B31" s="11">
        <f>MONTH(Tab_data[[#This Row],[Data]])</f>
        <v>10</v>
      </c>
      <c r="C31" s="2" t="s">
        <v>8</v>
      </c>
      <c r="D31" s="4" t="s">
        <v>13</v>
      </c>
      <c r="E31" s="4" t="s">
        <v>14</v>
      </c>
      <c r="F31" s="5">
        <v>600</v>
      </c>
      <c r="G31" s="4" t="s">
        <v>15</v>
      </c>
      <c r="H31" s="4" t="s">
        <v>16</v>
      </c>
    </row>
    <row r="32" spans="1:8" x14ac:dyDescent="0.25">
      <c r="A32" s="1">
        <v>45568</v>
      </c>
      <c r="B32" s="11">
        <f>MONTH(Tab_data[[#This Row],[Data]])</f>
        <v>10</v>
      </c>
      <c r="C32" s="2" t="s">
        <v>8</v>
      </c>
      <c r="D32" s="4" t="s">
        <v>17</v>
      </c>
      <c r="E32" s="4" t="s">
        <v>57</v>
      </c>
      <c r="F32" s="5">
        <v>200</v>
      </c>
      <c r="G32" s="4" t="s">
        <v>19</v>
      </c>
      <c r="H32" s="4" t="s">
        <v>20</v>
      </c>
    </row>
    <row r="33" spans="1:8" x14ac:dyDescent="0.25">
      <c r="A33" s="1">
        <v>45570</v>
      </c>
      <c r="B33" s="11">
        <f>MONTH(Tab_data[[#This Row],[Data]])</f>
        <v>10</v>
      </c>
      <c r="C33" s="2" t="s">
        <v>8</v>
      </c>
      <c r="D33" s="4" t="s">
        <v>21</v>
      </c>
      <c r="E33" s="4" t="s">
        <v>58</v>
      </c>
      <c r="F33" s="5">
        <v>180</v>
      </c>
      <c r="G33" s="4" t="s">
        <v>11</v>
      </c>
      <c r="H33" s="4" t="s">
        <v>20</v>
      </c>
    </row>
    <row r="34" spans="1:8" x14ac:dyDescent="0.25">
      <c r="A34" s="1">
        <v>45573</v>
      </c>
      <c r="B34" s="11">
        <f>MONTH(Tab_data[[#This Row],[Data]])</f>
        <v>10</v>
      </c>
      <c r="C34" s="2" t="s">
        <v>8</v>
      </c>
      <c r="D34" s="4" t="s">
        <v>23</v>
      </c>
      <c r="E34" s="4" t="s">
        <v>59</v>
      </c>
      <c r="F34" s="5">
        <v>120</v>
      </c>
      <c r="G34" s="4" t="s">
        <v>15</v>
      </c>
      <c r="H34" s="4" t="s">
        <v>16</v>
      </c>
    </row>
    <row r="35" spans="1:8" x14ac:dyDescent="0.25">
      <c r="A35" s="1">
        <v>45575</v>
      </c>
      <c r="B35" s="11">
        <f>MONTH(Tab_data[[#This Row],[Data]])</f>
        <v>10</v>
      </c>
      <c r="C35" s="2" t="s">
        <v>8</v>
      </c>
      <c r="D35" s="4" t="s">
        <v>25</v>
      </c>
      <c r="E35" s="4" t="s">
        <v>60</v>
      </c>
      <c r="F35" s="5">
        <v>350</v>
      </c>
      <c r="G35" s="4" t="s">
        <v>19</v>
      </c>
      <c r="H35" s="4" t="s">
        <v>16</v>
      </c>
    </row>
    <row r="36" spans="1:8" x14ac:dyDescent="0.25">
      <c r="A36" s="1">
        <v>45578</v>
      </c>
      <c r="B36" s="11">
        <f>MONTH(Tab_data[[#This Row],[Data]])</f>
        <v>10</v>
      </c>
      <c r="C36" s="2" t="s">
        <v>8</v>
      </c>
      <c r="D36" s="4" t="s">
        <v>27</v>
      </c>
      <c r="E36" s="4" t="s">
        <v>61</v>
      </c>
      <c r="F36" s="5">
        <v>400</v>
      </c>
      <c r="G36" s="4" t="s">
        <v>11</v>
      </c>
      <c r="H36" s="4" t="s">
        <v>20</v>
      </c>
    </row>
    <row r="37" spans="1:8" x14ac:dyDescent="0.25">
      <c r="A37" s="1">
        <v>45580</v>
      </c>
      <c r="B37" s="11">
        <f>MONTH(Tab_data[[#This Row],[Data]])</f>
        <v>10</v>
      </c>
      <c r="C37" s="2" t="s">
        <v>8</v>
      </c>
      <c r="D37" s="4" t="s">
        <v>31</v>
      </c>
      <c r="E37" s="4" t="s">
        <v>62</v>
      </c>
      <c r="F37" s="5">
        <v>450</v>
      </c>
      <c r="G37" s="4" t="s">
        <v>15</v>
      </c>
      <c r="H37" s="4" t="s">
        <v>20</v>
      </c>
    </row>
    <row r="38" spans="1:8" x14ac:dyDescent="0.25">
      <c r="A38" s="1">
        <v>45583</v>
      </c>
      <c r="B38" s="11">
        <f>MONTH(Tab_data[[#This Row],[Data]])</f>
        <v>10</v>
      </c>
      <c r="C38" s="2" t="s">
        <v>7</v>
      </c>
      <c r="D38" s="4" t="s">
        <v>63</v>
      </c>
      <c r="E38" s="4" t="s">
        <v>64</v>
      </c>
      <c r="F38" s="5">
        <v>1500</v>
      </c>
      <c r="G38" s="4" t="s">
        <v>11</v>
      </c>
      <c r="H38" s="4" t="s">
        <v>12</v>
      </c>
    </row>
    <row r="39" spans="1:8" x14ac:dyDescent="0.25">
      <c r="A39" s="1">
        <v>45583</v>
      </c>
      <c r="B39" s="11">
        <f>MONTH(Tab_data[[#This Row],[Data]])</f>
        <v>10</v>
      </c>
      <c r="C39" s="2" t="s">
        <v>8</v>
      </c>
      <c r="D39" s="4" t="s">
        <v>33</v>
      </c>
      <c r="E39" s="4" t="s">
        <v>65</v>
      </c>
      <c r="F39" s="5">
        <v>300</v>
      </c>
      <c r="G39" s="4" t="s">
        <v>19</v>
      </c>
      <c r="H39" s="4" t="s">
        <v>16</v>
      </c>
    </row>
    <row r="40" spans="1:8" x14ac:dyDescent="0.25">
      <c r="A40" s="1">
        <v>45585</v>
      </c>
      <c r="B40" s="11">
        <f>MONTH(Tab_data[[#This Row],[Data]])</f>
        <v>10</v>
      </c>
      <c r="C40" s="2" t="s">
        <v>8</v>
      </c>
      <c r="D40" s="4" t="s">
        <v>35</v>
      </c>
      <c r="E40" s="4" t="s">
        <v>66</v>
      </c>
      <c r="F40" s="5">
        <v>800</v>
      </c>
      <c r="G40" s="4" t="s">
        <v>11</v>
      </c>
      <c r="H40" s="4" t="s">
        <v>20</v>
      </c>
    </row>
    <row r="41" spans="1:8" x14ac:dyDescent="0.25">
      <c r="A41" s="1">
        <v>45587</v>
      </c>
      <c r="B41" s="11">
        <f>MONTH(Tab_data[[#This Row],[Data]])</f>
        <v>10</v>
      </c>
      <c r="C41" s="2" t="s">
        <v>8</v>
      </c>
      <c r="D41" s="4" t="s">
        <v>37</v>
      </c>
      <c r="E41" s="4" t="s">
        <v>67</v>
      </c>
      <c r="F41" s="5">
        <v>250</v>
      </c>
      <c r="G41" s="4" t="s">
        <v>19</v>
      </c>
      <c r="H41" s="4" t="s">
        <v>16</v>
      </c>
    </row>
    <row r="42" spans="1:8" x14ac:dyDescent="0.25">
      <c r="A42" s="1">
        <v>45589</v>
      </c>
      <c r="B42" s="11">
        <f>MONTH(Tab_data[[#This Row],[Data]])</f>
        <v>10</v>
      </c>
      <c r="C42" s="2" t="s">
        <v>8</v>
      </c>
      <c r="D42" s="4" t="s">
        <v>41</v>
      </c>
      <c r="E42" s="4" t="s">
        <v>68</v>
      </c>
      <c r="F42" s="5">
        <v>150</v>
      </c>
      <c r="G42" s="4" t="s">
        <v>15</v>
      </c>
      <c r="H42" s="4" t="s">
        <v>20</v>
      </c>
    </row>
    <row r="43" spans="1:8" x14ac:dyDescent="0.25">
      <c r="A43" s="1">
        <v>45591</v>
      </c>
      <c r="B43" s="11">
        <f>MONTH(Tab_data[[#This Row],[Data]])</f>
        <v>10</v>
      </c>
      <c r="C43" s="2" t="s">
        <v>8</v>
      </c>
      <c r="D43" s="4" t="s">
        <v>39</v>
      </c>
      <c r="E43" s="4" t="s">
        <v>69</v>
      </c>
      <c r="F43" s="5">
        <v>250</v>
      </c>
      <c r="G43" s="4" t="s">
        <v>11</v>
      </c>
      <c r="H43" s="4" t="s">
        <v>16</v>
      </c>
    </row>
    <row r="44" spans="1:8" x14ac:dyDescent="0.25">
      <c r="A44" s="1">
        <v>45595</v>
      </c>
      <c r="B44" s="11">
        <f>MONTH(Tab_data[[#This Row],[Data]])</f>
        <v>10</v>
      </c>
      <c r="C44" s="2" t="s">
        <v>8</v>
      </c>
      <c r="D44" s="4" t="s">
        <v>45</v>
      </c>
      <c r="E44" s="4" t="s">
        <v>70</v>
      </c>
      <c r="F44" s="5">
        <v>220</v>
      </c>
      <c r="G44" s="4" t="s">
        <v>11</v>
      </c>
      <c r="H44" s="4" t="s">
        <v>16</v>
      </c>
    </row>
    <row r="45" spans="1:8" x14ac:dyDescent="0.25">
      <c r="A45" s="1">
        <v>45596</v>
      </c>
      <c r="B45" s="11">
        <f>MONTH(Tab_data[[#This Row],[Data]])</f>
        <v>10</v>
      </c>
      <c r="C45" s="2" t="s">
        <v>8</v>
      </c>
      <c r="D45" s="4" t="s">
        <v>43</v>
      </c>
      <c r="E45" s="4" t="s">
        <v>71</v>
      </c>
      <c r="F45" s="5">
        <v>500</v>
      </c>
      <c r="G45" s="4" t="s">
        <v>19</v>
      </c>
      <c r="H45" s="4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C8CF-03BE-4549-B7F8-D53DBF444282}">
  <sheetPr>
    <tabColor theme="1" tint="0.499984740745262"/>
  </sheetPr>
  <dimension ref="C1:K21"/>
  <sheetViews>
    <sheetView topLeftCell="B1" workbookViewId="0">
      <selection activeCell="D38" sqref="D38"/>
    </sheetView>
  </sheetViews>
  <sheetFormatPr defaultRowHeight="15" x14ac:dyDescent="0.25"/>
  <cols>
    <col min="3" max="3" width="18.42578125" bestFit="1" customWidth="1"/>
    <col min="4" max="4" width="13.85546875" bestFit="1" customWidth="1"/>
    <col min="6" max="6" width="18.42578125" style="3" bestFit="1" customWidth="1"/>
    <col min="7" max="7" width="13.85546875" style="3" bestFit="1" customWidth="1"/>
  </cols>
  <sheetData>
    <row r="1" spans="3:7" x14ac:dyDescent="0.25">
      <c r="C1" t="s">
        <v>75</v>
      </c>
      <c r="F1" s="3" t="s">
        <v>76</v>
      </c>
    </row>
    <row r="2" spans="3:7" x14ac:dyDescent="0.25">
      <c r="C2" s="6" t="s">
        <v>1</v>
      </c>
      <c r="D2" s="3" t="s">
        <v>8</v>
      </c>
      <c r="F2" s="6" t="s">
        <v>1</v>
      </c>
      <c r="G2" s="3" t="s">
        <v>7</v>
      </c>
    </row>
    <row r="4" spans="3:7" x14ac:dyDescent="0.25">
      <c r="C4" s="6" t="s">
        <v>72</v>
      </c>
      <c r="D4" t="s">
        <v>74</v>
      </c>
      <c r="F4" s="6" t="s">
        <v>72</v>
      </c>
      <c r="G4" t="s">
        <v>74</v>
      </c>
    </row>
    <row r="5" spans="3:7" x14ac:dyDescent="0.25">
      <c r="C5" s="7" t="s">
        <v>13</v>
      </c>
      <c r="D5" s="8">
        <v>450</v>
      </c>
      <c r="F5" s="7" t="s">
        <v>50</v>
      </c>
      <c r="G5" s="8">
        <v>1200</v>
      </c>
    </row>
    <row r="6" spans="3:7" x14ac:dyDescent="0.25">
      <c r="C6" s="7" t="s">
        <v>25</v>
      </c>
      <c r="D6" s="8">
        <v>350</v>
      </c>
      <c r="F6" s="7" t="s">
        <v>9</v>
      </c>
      <c r="G6" s="8">
        <v>5000</v>
      </c>
    </row>
    <row r="7" spans="3:7" x14ac:dyDescent="0.25">
      <c r="C7" s="7" t="s">
        <v>33</v>
      </c>
      <c r="D7" s="8">
        <v>1500</v>
      </c>
      <c r="F7" s="7" t="s">
        <v>73</v>
      </c>
      <c r="G7" s="8">
        <v>6200</v>
      </c>
    </row>
    <row r="8" spans="3:7" x14ac:dyDescent="0.25">
      <c r="C8" s="7" t="s">
        <v>21</v>
      </c>
      <c r="D8" s="8">
        <v>200</v>
      </c>
      <c r="F8"/>
      <c r="G8"/>
    </row>
    <row r="9" spans="3:7" x14ac:dyDescent="0.25">
      <c r="C9" s="7" t="s">
        <v>37</v>
      </c>
      <c r="D9" s="8">
        <v>400</v>
      </c>
      <c r="F9"/>
      <c r="G9"/>
    </row>
    <row r="10" spans="3:7" x14ac:dyDescent="0.25">
      <c r="C10" s="7" t="s">
        <v>23</v>
      </c>
      <c r="D10" s="8">
        <v>600</v>
      </c>
      <c r="F10"/>
      <c r="G10"/>
    </row>
    <row r="11" spans="3:7" x14ac:dyDescent="0.25">
      <c r="C11" s="7" t="s">
        <v>31</v>
      </c>
      <c r="D11" s="8">
        <v>800</v>
      </c>
      <c r="F11"/>
      <c r="G11"/>
    </row>
    <row r="12" spans="3:7" x14ac:dyDescent="0.25">
      <c r="C12" s="7" t="s">
        <v>17</v>
      </c>
      <c r="D12" s="8">
        <v>300</v>
      </c>
      <c r="F12"/>
      <c r="G12"/>
    </row>
    <row r="13" spans="3:7" x14ac:dyDescent="0.25">
      <c r="C13" s="7" t="s">
        <v>54</v>
      </c>
      <c r="D13" s="8">
        <v>250</v>
      </c>
      <c r="F13"/>
      <c r="G13"/>
    </row>
    <row r="14" spans="3:7" x14ac:dyDescent="0.25">
      <c r="C14" s="7" t="s">
        <v>27</v>
      </c>
      <c r="D14" s="8">
        <v>500</v>
      </c>
      <c r="F14"/>
      <c r="G14"/>
    </row>
    <row r="15" spans="3:7" x14ac:dyDescent="0.25">
      <c r="C15" s="7" t="s">
        <v>73</v>
      </c>
      <c r="D15" s="8">
        <v>5350</v>
      </c>
      <c r="F15"/>
      <c r="G15"/>
    </row>
    <row r="16" spans="3:7" x14ac:dyDescent="0.25">
      <c r="F16"/>
      <c r="G16"/>
    </row>
    <row r="17" spans="6:11" x14ac:dyDescent="0.25">
      <c r="F17"/>
      <c r="G17"/>
    </row>
    <row r="18" spans="6:11" x14ac:dyDescent="0.25">
      <c r="F18"/>
      <c r="G18"/>
    </row>
    <row r="19" spans="6:11" x14ac:dyDescent="0.25">
      <c r="F19"/>
      <c r="G19"/>
    </row>
    <row r="20" spans="6:11" x14ac:dyDescent="0.25">
      <c r="F20"/>
      <c r="G20"/>
    </row>
    <row r="21" spans="6:11" x14ac:dyDescent="0.25">
      <c r="K21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4079-9267-4235-80E1-4168247C3FCF}">
  <dimension ref="A1:U1"/>
  <sheetViews>
    <sheetView showGridLines="0" tabSelected="1" zoomScale="70" zoomScaleNormal="70" workbookViewId="0">
      <selection activeCell="S34" sqref="S34"/>
    </sheetView>
  </sheetViews>
  <sheetFormatPr defaultColWidth="0" defaultRowHeight="15" x14ac:dyDescent="0.25"/>
  <cols>
    <col min="1" max="1" width="39.28515625" style="9" customWidth="1"/>
    <col min="2" max="21" width="11.42578125" style="10" customWidth="1"/>
    <col min="22" max="16384" width="9.140625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2454-149C-4ADE-A209-C24847AC0191}">
  <sheetPr>
    <tabColor theme="2" tint="-9.9978637043366805E-2"/>
  </sheetPr>
  <dimension ref="D1:G21"/>
  <sheetViews>
    <sheetView workbookViewId="0">
      <selection activeCell="C29" sqref="C29"/>
    </sheetView>
  </sheetViews>
  <sheetFormatPr defaultRowHeight="15" x14ac:dyDescent="0.25"/>
  <cols>
    <col min="4" max="4" width="21.140625" customWidth="1"/>
    <col min="5" max="5" width="20.5703125" customWidth="1"/>
  </cols>
  <sheetData>
    <row r="1" spans="4:7" ht="51.75" customHeight="1" x14ac:dyDescent="0.25"/>
    <row r="3" spans="4:7" x14ac:dyDescent="0.25">
      <c r="D3" s="19" t="s">
        <v>81</v>
      </c>
      <c r="E3" s="15">
        <f>SUM(Tabela2[Depósito Reservado])</f>
        <v>3958</v>
      </c>
      <c r="F3" t="s">
        <v>77</v>
      </c>
    </row>
    <row r="4" spans="4:7" x14ac:dyDescent="0.25">
      <c r="D4" s="19" t="s">
        <v>82</v>
      </c>
      <c r="E4" s="18">
        <v>20000</v>
      </c>
    </row>
    <row r="6" spans="4:7" x14ac:dyDescent="0.25">
      <c r="D6" t="s">
        <v>79</v>
      </c>
      <c r="E6" t="s">
        <v>80</v>
      </c>
    </row>
    <row r="7" spans="4:7" x14ac:dyDescent="0.25">
      <c r="D7" s="14">
        <v>45968</v>
      </c>
      <c r="E7" s="13">
        <v>50</v>
      </c>
    </row>
    <row r="8" spans="4:7" x14ac:dyDescent="0.25">
      <c r="D8" s="14">
        <v>45969</v>
      </c>
      <c r="E8" s="13">
        <v>295</v>
      </c>
    </row>
    <row r="9" spans="4:7" x14ac:dyDescent="0.25">
      <c r="D9" s="14">
        <v>45970</v>
      </c>
      <c r="E9" s="13">
        <v>177</v>
      </c>
    </row>
    <row r="10" spans="4:7" x14ac:dyDescent="0.25">
      <c r="D10" s="14">
        <v>45971</v>
      </c>
      <c r="E10" s="13">
        <v>268</v>
      </c>
    </row>
    <row r="11" spans="4:7" x14ac:dyDescent="0.25">
      <c r="D11" s="14">
        <v>45972</v>
      </c>
      <c r="E11" s="13">
        <v>391</v>
      </c>
    </row>
    <row r="12" spans="4:7" x14ac:dyDescent="0.25">
      <c r="D12" s="14">
        <v>45973</v>
      </c>
      <c r="E12" s="13">
        <v>371</v>
      </c>
    </row>
    <row r="13" spans="4:7" x14ac:dyDescent="0.25">
      <c r="D13" s="14">
        <v>45974</v>
      </c>
      <c r="E13" s="13">
        <v>511</v>
      </c>
    </row>
    <row r="14" spans="4:7" x14ac:dyDescent="0.25">
      <c r="D14" s="14">
        <v>45975</v>
      </c>
      <c r="E14" s="13">
        <v>113</v>
      </c>
    </row>
    <row r="15" spans="4:7" x14ac:dyDescent="0.25">
      <c r="D15" s="14">
        <v>45976</v>
      </c>
      <c r="E15" s="13">
        <v>67</v>
      </c>
    </row>
    <row r="16" spans="4:7" x14ac:dyDescent="0.25">
      <c r="D16" s="14">
        <v>45977</v>
      </c>
      <c r="E16" s="13">
        <v>349</v>
      </c>
      <c r="G16" t="s">
        <v>77</v>
      </c>
    </row>
    <row r="17" spans="4:5" x14ac:dyDescent="0.25">
      <c r="D17" s="14">
        <v>45978</v>
      </c>
      <c r="E17" s="13">
        <v>587</v>
      </c>
    </row>
    <row r="18" spans="4:5" x14ac:dyDescent="0.25">
      <c r="D18" s="14">
        <v>45979</v>
      </c>
      <c r="E18" s="13">
        <v>326</v>
      </c>
    </row>
    <row r="19" spans="4:5" x14ac:dyDescent="0.25">
      <c r="D19" s="14">
        <v>45980</v>
      </c>
      <c r="E19" s="13">
        <v>345</v>
      </c>
    </row>
    <row r="20" spans="4:5" x14ac:dyDescent="0.25">
      <c r="D20" s="14">
        <v>45981</v>
      </c>
      <c r="E20" s="13">
        <v>108</v>
      </c>
    </row>
    <row r="21" spans="4:5" x14ac:dyDescent="0.25">
      <c r="D21" s="16"/>
      <c r="E21" s="1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TabDinamica</vt:lpstr>
      <vt:lpstr>Dashboard</vt:lpstr>
      <vt:lpstr>Caixinha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Mitiko Ichihara</dc:creator>
  <cp:lastModifiedBy>Patrícia Mitiko Ichihara</cp:lastModifiedBy>
  <dcterms:created xsi:type="dcterms:W3CDTF">2025-01-12T23:38:17Z</dcterms:created>
  <dcterms:modified xsi:type="dcterms:W3CDTF">2025-01-13T02:12:01Z</dcterms:modified>
</cp:coreProperties>
</file>